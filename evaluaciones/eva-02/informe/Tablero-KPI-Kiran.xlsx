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" sheetId="1" state="visible" r:id="rId3"/>
  </sheets>
  <definedNames>
    <definedName function="false" hidden="false" localSheetId="0" name="_xlnm.Print_Area" vbProcedure="false">Tablero!$A$1:$J$49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<sst xmlns="http://schemas.openxmlformats.org/spreadsheetml/2006/main" count="119" uniqueCount="79">
  <si>
    <t xml:space="preserve">Proyecto Kiran · Tablero de indicadores</t>
  </si>
  <si>
    <t xml:space="preserve">Equipo Kiran · Gestión de Proyectos de Software · Sección 001-V · Corte registrado: 19 de octubre de 2026 · Ventana del piloto: 14 sep – 9 dic 2026</t>
  </si>
  <si>
    <t xml:space="preserve">RESUMEN DEL CORTE · 19 DE OCTUBRE DE 2026 · INVENTARIO VALIDADO</t>
  </si>
  <si>
    <t xml:space="preserve">AVANCE FRENTE AL PLAN</t>
  </si>
  <si>
    <t xml:space="preserve">GASTO FRENTE AL PLAN</t>
  </si>
  <si>
    <t xml:space="preserve">AUTOEVALUACIÓN DEL HITO</t>
  </si>
  <si>
    <t xml:space="preserve">DEFECTOS POR 1.000 LÍNEAS</t>
  </si>
  <si>
    <t xml:space="preserve">DECISIÓN DEL CORTE</t>
  </si>
  <si>
    <t xml:space="preserve">INDICADORES POR CORTE · VALOR PLANIFICADO, VALOR REAL Y SEMÁFORO</t>
  </si>
  <si>
    <t xml:space="preserve">Corte</t>
  </si>
  <si>
    <t xml:space="preserve">Indicador</t>
  </si>
  <si>
    <t xml:space="preserve">Meta</t>
  </si>
  <si>
    <t xml:space="preserve">Plan al corte</t>
  </si>
  <si>
    <t xml:space="preserve">Real al corte</t>
  </si>
  <si>
    <t xml:space="preserve">Dato de control</t>
  </si>
  <si>
    <t xml:space="preserve">Causa escrita</t>
  </si>
  <si>
    <t xml:space="preserve">Semáforo</t>
  </si>
  <si>
    <t xml:space="preserve">Alerta</t>
  </si>
  <si>
    <t xml:space="preserve">Decisión</t>
  </si>
  <si>
    <t xml:space="preserve">19 oct 2026
Inventario validado</t>
  </si>
  <si>
    <t xml:space="preserve">Avance frente al plan</t>
  </si>
  <si>
    <t xml:space="preserve">Atraso ≤ 3 días hábiles con causa</t>
  </si>
  <si>
    <t xml:space="preserve">No aplica</t>
  </si>
  <si>
    <t xml:space="preserve">Gasto frente al plan (US$)</t>
  </si>
  <si>
    <t xml:space="preserve">Desviación ≤ 10 %</t>
  </si>
  <si>
    <t xml:space="preserve">—</t>
  </si>
  <si>
    <t xml:space="preserve">Autoevaluación del hito (1–5)</t>
  </si>
  <si>
    <t xml:space="preserve">Puntaje ≥ 4</t>
  </si>
  <si>
    <t xml:space="preserve">Defectos por 1.000 líneas</t>
  </si>
  <si>
    <t xml:space="preserve">≤ 5 y 0 bloqueantes</t>
  </si>
  <si>
    <t xml:space="preserve">9 nov 2026
Tablero operativo</t>
  </si>
  <si>
    <t xml:space="preserve">4 dic 2026
Tickets, pruebas e informe</t>
  </si>
  <si>
    <t xml:space="preserve">9 dic 2026
Cierre y traspaso</t>
  </si>
  <si>
    <t xml:space="preserve">PRESUPUESTO Y CONTINGENCIA (US$)</t>
  </si>
  <si>
    <t xml:space="preserve">SOLICITUD C-05 · MÓDULO DE ASISTENCIA</t>
  </si>
  <si>
    <t xml:space="preserve">Concepto</t>
  </si>
  <si>
    <t xml:space="preserve">Monto</t>
  </si>
  <si>
    <t xml:space="preserve">Nota</t>
  </si>
  <si>
    <t xml:space="preserve">Componente</t>
  </si>
  <si>
    <t xml:space="preserve">Mínimo</t>
  </si>
  <si>
    <t xml:space="preserve">Máximo</t>
  </si>
  <si>
    <t xml:space="preserve">Techo aprobado</t>
  </si>
  <si>
    <t xml:space="preserve">Techo vigente del proyecto</t>
  </si>
  <si>
    <t xml:space="preserve">API de modelo (Gemini)</t>
  </si>
  <si>
    <t xml:space="preserve">Dentro del tope de US$ 120</t>
  </si>
  <si>
    <t xml:space="preserve">Contingencia (techo − base)</t>
  </si>
  <si>
    <t xml:space="preserve">Google Cloud</t>
  </si>
  <si>
    <t xml:space="preserve">Consumo adicional de nube</t>
  </si>
  <si>
    <t xml:space="preserve">Base del plan</t>
  </si>
  <si>
    <t xml:space="preserve">Costo planificado sin contingencia</t>
  </si>
  <si>
    <t xml:space="preserve">Colchón de cuotas e integración</t>
  </si>
  <si>
    <t xml:space="preserve">Credenciales, cuotas y pruebas</t>
  </si>
  <si>
    <t xml:space="preserve">Gasto ejecutado al 19 oct</t>
  </si>
  <si>
    <t xml:space="preserve">Incremento en caja</t>
  </si>
  <si>
    <t xml:space="preserve">Se solicita el máximo</t>
  </si>
  <si>
    <t xml:space="preserve">Saldo de la base</t>
  </si>
  <si>
    <t xml:space="preserve">Disponible para los cortes siguientes</t>
  </si>
  <si>
    <t xml:space="preserve">Techo solicitado</t>
  </si>
  <si>
    <t xml:space="preserve">Contingencia usada</t>
  </si>
  <si>
    <t xml:space="preserve">Esfuerzo del módulo: 13–22 días-persona</t>
  </si>
  <si>
    <t xml:space="preserve">Sin costo en caja: se cubre con sustitución de alcance</t>
  </si>
  <si>
    <t xml:space="preserve">API de modelo · tope</t>
  </si>
  <si>
    <t xml:space="preserve">Tope mensual acordado</t>
  </si>
  <si>
    <t xml:space="preserve">API de modelo · usado</t>
  </si>
  <si>
    <t xml:space="preserve">REGLAS DE CONTROL (PARÁMETROS QUE USAN LOS SEMÁFOROS)</t>
  </si>
  <si>
    <t xml:space="preserve">Regla</t>
  </si>
  <si>
    <t xml:space="preserve">Umbral</t>
  </si>
  <si>
    <t xml:space="preserve">Acción si se cruza</t>
  </si>
  <si>
    <t xml:space="preserve">Atraso máximo con causa escrita (días hábiles)</t>
  </si>
  <si>
    <t xml:space="preserve">La semana siguiente completa lo pendiente y no suma trabajo nuevo</t>
  </si>
  <si>
    <t xml:space="preserve">Desviación máxima del gasto</t>
  </si>
  <si>
    <t xml:space="preserve">Se detiene el gasto no comprometido</t>
  </si>
  <si>
    <t xml:space="preserve">Autoevaluación mínima del hito (1–5)</t>
  </si>
  <si>
    <t xml:space="preserve">La contraparte reabre el corte</t>
  </si>
  <si>
    <t xml:space="preserve">Defectos máximos por 1.000 líneas modificadas</t>
  </si>
  <si>
    <t xml:space="preserve">Se corrige antes de sumar funciones</t>
  </si>
  <si>
    <t xml:space="preserve">Defectos bloqueantes abiertos permitidos</t>
  </si>
  <si>
    <t xml:space="preserve">Ningún corte se cierra con un bloqueante abierto</t>
  </si>
  <si>
    <t xml:space="preserve">Lectura: texto azul = dato registrado por el equipo; texto negro = fórmula. El gasto planificado de cada corte es la base por el avance planificado en porcentaje entero. Los cortes del 9 nov, 4 dic y 9 dic muestran el valor planificado y se completan en su fecha.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</si>
</sst>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.0%"/>
    <numFmt numFmtId="166" formatCode="&quot;US$ &quot;#,##0"/>
    <numFmt numFmtId="167" formatCode="0&quot; / 5&quot;"/>
    <numFmt numFmtId="168" formatCode="0&quot; / 1.000&quot;"/>
    <numFmt numFmtId="169" formatCode="&quot;Plan al corte: &quot;0.0%"/>
    <numFmt numFmtId="170" formatCode="&quot;Desviación: &quot;0%&quot; frente al plan&quot;"/>
    <numFmt numFmtId="171" formatCode="&quot;Mínimo aceptado: &quot;0&quot; / 5&quot;"/>
    <numFmt numFmtId="172" formatCode="&quot;Bloqueantes abiertos: &quot;0"/>
    <numFmt numFmtId="173" formatCode="0&quot; días&quot;"/>
    <numFmt numFmtId="174" formatCode="#,##0"/>
    <numFmt numFmtId="175" formatCode="0.0%&quot; desv.&quot;;\-0.0%&quot; desv.&quot;;&quot;0 % desv.&quot;"/>
    <numFmt numFmtId="176" formatCode="&quot;≥ &quot;0"/>
    <numFmt numFmtId="177" formatCode="&quot;≤ &quot;0"/>
    <numFmt numFmtId="178" formatCode="0"/>
    <numFmt numFmtId="179" formatCode="0&quot; bloqueantes&quot;"/>
    <numFmt numFmtId="180" formatCode="0%&quot; sobre la base&quot;"/>
    <numFmt numFmtId="181" formatCode="0%&quot; de la base&quot;"/>
    <numFmt numFmtId="182" formatCode="&quot;Saldo: US$ &quot;#,##0"/>
    <numFmt numFmtId="183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E7EDF1"/>
      <name val="Arial"/>
      <family val="0"/>
      <charset val="1"/>
    </font>
    <font>
      <b val="true"/>
      <sz val="10"/>
      <color rgb="FF8A5208"/>
      <name val="Arial"/>
      <family val="0"/>
      <charset val="1"/>
    </font>
    <font>
      <b val="true"/>
      <sz val="9"/>
      <color rgb="FF5A6B79"/>
      <name val="Arial"/>
      <family val="0"/>
      <charset val="1"/>
    </font>
    <font>
      <b val="true"/>
      <sz val="9"/>
      <color rgb="FFF3E2C0"/>
      <name val="Arial"/>
      <family val="0"/>
      <charset val="1"/>
    </font>
    <font>
      <b val="true"/>
      <sz val="22"/>
      <color rgb="FF1026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A6B79"/>
      <name val="Arial"/>
      <family val="0"/>
      <charset val="1"/>
    </font>
    <font>
      <b val="true"/>
      <sz val="10"/>
      <color rgb="FF10263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0263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A6B79"/>
      <name val="Arial"/>
      <family val="0"/>
      <charset val="1"/>
    </font>
    <font>
      <sz val="10"/>
      <color rgb="FF1026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8A5208"/>
      <name val="Arial"/>
      <family val="0"/>
      <charset val="1"/>
    </font>
    <font>
      <b val="true"/>
      <sz val="9"/>
      <color rgb="FF8A5208"/>
      <name val="Arial"/>
      <family val="0"/>
      <charset val="1"/>
    </font>
    <font>
      <i val="true"/>
      <sz val="9"/>
      <color rgb="FF5A6B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0263D"/>
        <bgColor rgb="FF333333"/>
      </patternFill>
    </fill>
    <fill>
      <patternFill patternType="solid">
        <fgColor rgb="FFE59A24"/>
        <bgColor rgb="FFFF8080"/>
      </patternFill>
    </fill>
    <fill>
      <patternFill patternType="solid">
        <fgColor rgb="FFF7F3EA"/>
        <bgColor rgb="FFFBF8F2"/>
      </patternFill>
    </fill>
    <fill>
      <patternFill patternType="solid">
        <fgColor rgb="FFFBF8F2"/>
        <bgColor rgb="FFF7F3EA"/>
      </patternFill>
    </fill>
    <fill>
      <patternFill patternType="solid">
        <fgColor rgb="FFFFFFFF"/>
        <bgColor rgb="FFFBF8F2"/>
      </patternFill>
    </fill>
    <fill>
      <patternFill patternType="solid">
        <fgColor rgb="FFF3E2C0"/>
        <bgColor rgb="FFF6D5D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2C6B4"/>
      </left>
      <right style="thin">
        <color rgb="FFD2C6B4"/>
      </right>
      <top style="medium">
        <color rgb="FFE59A24"/>
      </top>
      <bottom/>
      <diagonal/>
    </border>
    <border diagonalUp="false" diagonalDown="false">
      <left style="thin">
        <color rgb="FFD2C6B4"/>
      </left>
      <right style="thin">
        <color rgb="FFD2C6B4"/>
      </right>
      <top/>
      <bottom/>
      <diagonal/>
    </border>
    <border diagonalUp="false" diagonalDown="false">
      <left style="thin">
        <color rgb="FFD2C6B4"/>
      </left>
      <right style="thin">
        <color rgb="FFD2C6B4"/>
      </right>
      <top/>
      <bottom style="thin">
        <color rgb="FFD2C6B4"/>
      </bottom>
      <diagonal/>
    </border>
    <border diagonalUp="false" diagonalDown="false">
      <left style="thin">
        <color rgb="FFD2C6B4"/>
      </left>
      <right style="thin">
        <color rgb="FFD2C6B4"/>
      </right>
      <top style="thin">
        <color rgb="FFD2C6B4"/>
      </top>
      <bottom style="thin">
        <color rgb="FFD2C6B4"/>
      </bottom>
      <diagonal/>
    </border>
    <border diagonalUp="false" diagonalDown="false">
      <left style="thin">
        <color rgb="FFD2C6B4"/>
      </left>
      <right style="thin">
        <color rgb="FFD2C6B4"/>
      </right>
      <top style="thin">
        <color rgb="FFD2C6B4"/>
      </top>
      <bottom/>
      <diagonal/>
    </border>
    <border diagonalUp="false" diagonalDown="false">
      <left style="thin">
        <color rgb="FFD2C6B4"/>
      </left>
      <right/>
      <top style="thin">
        <color rgb="FFD2C6B4"/>
      </top>
      <bottom style="thin">
        <color rgb="FFD2C6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9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9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11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15" fillId="6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4" fontId="14" fillId="6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74" fontId="21" fillId="6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80" fontId="1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1" fontId="1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2" fillId="7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3" fillId="7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2" fontId="1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8" fontId="15" fillId="6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83" fontId="15" fillId="6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24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5A6B79"/>
      </font>
      <fill>
        <patternFill>
          <bgColor rgb="FFEEEAE2"/>
        </patternFill>
      </fill>
    </dxf>
    <dxf>
      <font>
        <name val="Arial"/>
        <charset val="1"/>
        <family val="0"/>
        <b val="1"/>
        <color rgb="FF1E6B3A"/>
      </font>
      <fill>
        <patternFill>
          <bgColor rgb="FFD8EBDD"/>
        </patternFill>
      </fill>
    </dxf>
    <dxf>
      <font>
        <name val="Arial"/>
        <charset val="1"/>
        <family val="0"/>
        <b val="1"/>
        <color rgb="FF8A5208"/>
      </font>
      <fill>
        <patternFill>
          <bgColor rgb="FFF3E2C0"/>
        </patternFill>
      </fill>
    </dxf>
    <dxf>
      <font>
        <name val="Arial"/>
        <charset val="1"/>
        <family val="0"/>
        <b val="1"/>
        <color rgb="FF9B2C22"/>
      </font>
      <fill>
        <patternFill>
          <bgColor rgb="FFF6D5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A5208"/>
      <rgbColor rgb="FF800080"/>
      <rgbColor rgb="FF008080"/>
      <rgbColor rgb="FFD2C6B4"/>
      <rgbColor rgb="FF808080"/>
      <rgbColor rgb="FF9999FF"/>
      <rgbColor rgb="FF993366"/>
      <rgbColor rgb="FFFBF8F2"/>
      <rgbColor rgb="FFE7EDF1"/>
      <rgbColor rgb="FF660066"/>
      <rgbColor rgb="FFFF8080"/>
      <rgbColor rgb="FF0066CC"/>
      <rgbColor rgb="FFEEEA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3EA"/>
      <rgbColor rgb="FFD8EBDD"/>
      <rgbColor rgb="FFF3E2C0"/>
      <rgbColor rgb="FF99CCFF"/>
      <rgbColor rgb="FFFF99CC"/>
      <rgbColor rgb="FFCC99FF"/>
      <rgbColor rgb="FFF6D5D2"/>
      <rgbColor rgb="FF3366FF"/>
      <rgbColor rgb="FF33CCCC"/>
      <rgbColor rgb="FF99CC00"/>
      <rgbColor rgb="FFFFCC00"/>
      <rgbColor rgb="FFE59A24"/>
      <rgbColor rgb="FFFF6600"/>
      <rgbColor rgb="FF5A6B79"/>
      <rgbColor rgb="FF969696"/>
      <rgbColor rgb="FF10263D"/>
      <rgbColor rgb="FF339966"/>
      <rgbColor rgb="FF003300"/>
      <rgbColor rgb="FF333300"/>
      <rgbColor rgb="FF9B2C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7"/>
    <col collapsed="false" customWidth="true" hidden="false" outlineLevel="0" max="3" min="3" style="0" width="19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4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9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8" hidden="false" customHeight="true" outlineLevel="0" collapsed="false">
      <c r="A6" s="6" t="s">
        <v>3</v>
      </c>
      <c r="B6" s="6"/>
      <c r="C6" s="6" t="s">
        <v>4</v>
      </c>
      <c r="D6" s="6"/>
      <c r="E6" s="6"/>
      <c r="F6" s="6" t="s">
        <v>5</v>
      </c>
      <c r="G6" s="6"/>
      <c r="H6" s="6"/>
      <c r="I6" s="6" t="s">
        <v>6</v>
      </c>
      <c r="J6" s="7" t="s">
        <v>7</v>
      </c>
    </row>
    <row r="7" customFormat="false" ht="33.75" hidden="false" customHeight="true" outlineLevel="0" collapsed="false">
      <c r="A7" s="8" t="n">
        <f aca="false">E13</f>
        <v>0.549</v>
      </c>
      <c r="B7" s="8"/>
      <c r="C7" s="9" t="n">
        <f aca="false">E14</f>
        <v>10346</v>
      </c>
      <c r="D7" s="9"/>
      <c r="E7" s="9"/>
      <c r="F7" s="10" t="n">
        <f aca="false">E15</f>
        <v>4</v>
      </c>
      <c r="G7" s="10"/>
      <c r="H7" s="10"/>
      <c r="I7" s="11" t="n">
        <f aca="false">E16</f>
        <v>3</v>
      </c>
      <c r="J7" s="12" t="str">
        <f aca="false">IF(COUNTIF(H13:H16,"Rojo")&gt;0,"Aplicar la acción de la regla en rojo antes de sumar trabajo nuevo.","Los cuatro indicadores en verde: se continúa según el plan y la contingencia queda sin uso.")</f>
        <v>Los cuatro indicadores en verde: se continúa según el plan y la contingencia queda sin uso.</v>
      </c>
    </row>
    <row r="8" customFormat="false" ht="18" hidden="false" customHeight="true" outlineLevel="0" collapsed="false">
      <c r="A8" s="13" t="n">
        <f aca="false">D13</f>
        <v>0.549</v>
      </c>
      <c r="B8" s="13"/>
      <c r="C8" s="14" t="n">
        <f aca="false">F14</f>
        <v>0</v>
      </c>
      <c r="D8" s="14"/>
      <c r="E8" s="14"/>
      <c r="F8" s="15" t="n">
        <f aca="false">$C$45</f>
        <v>4</v>
      </c>
      <c r="G8" s="15"/>
      <c r="H8" s="15"/>
      <c r="I8" s="16" t="n">
        <f aca="false">F16</f>
        <v>0</v>
      </c>
      <c r="J8" s="12"/>
    </row>
    <row r="9" customFormat="false" ht="19.5" hidden="false" customHeight="true" outlineLevel="0" collapsed="false">
      <c r="A9" s="17" t="str">
        <f aca="false">"Estado: "&amp;H13</f>
        <v>Estado: Verde</v>
      </c>
      <c r="B9" s="17"/>
      <c r="C9" s="17" t="str">
        <f aca="false">"Estado: "&amp;H14</f>
        <v>Estado: Verde</v>
      </c>
      <c r="D9" s="17"/>
      <c r="E9" s="17"/>
      <c r="F9" s="17" t="str">
        <f aca="false">"Estado: "&amp;H15</f>
        <v>Estado: Verde</v>
      </c>
      <c r="G9" s="17"/>
      <c r="H9" s="17"/>
      <c r="I9" s="17" t="str">
        <f aca="false">"Estado: "&amp;H16</f>
        <v>Estado: Verde</v>
      </c>
      <c r="J9" s="12"/>
    </row>
    <row r="10" customFormat="false" ht="9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30" hidden="false" customHeight="true" outlineLevel="0" collapsed="false">
      <c r="A12" s="18" t="s">
        <v>9</v>
      </c>
      <c r="B12" s="18" t="s">
        <v>10</v>
      </c>
      <c r="C12" s="18" t="s">
        <v>11</v>
      </c>
      <c r="D12" s="18" t="s">
        <v>12</v>
      </c>
      <c r="E12" s="18" t="s">
        <v>13</v>
      </c>
      <c r="F12" s="18" t="s">
        <v>14</v>
      </c>
      <c r="G12" s="18" t="s">
        <v>15</v>
      </c>
      <c r="H12" s="18" t="s">
        <v>16</v>
      </c>
      <c r="I12" s="18" t="s">
        <v>17</v>
      </c>
      <c r="J12" s="18" t="s">
        <v>18</v>
      </c>
    </row>
    <row r="13" customFormat="false" ht="33.75" hidden="false" customHeight="true" outlineLevel="0" collapsed="false">
      <c r="A13" s="19" t="s">
        <v>19</v>
      </c>
      <c r="B13" s="20" t="s">
        <v>20</v>
      </c>
      <c r="C13" s="21" t="s">
        <v>21</v>
      </c>
      <c r="D13" s="22" t="n">
        <v>0.549</v>
      </c>
      <c r="E13" s="23" t="n">
        <v>0.549</v>
      </c>
      <c r="F13" s="24" t="n">
        <v>0</v>
      </c>
      <c r="G13" s="25" t="s">
        <v>22</v>
      </c>
      <c r="H13" s="26" t="str">
        <f aca="false">IF(E13="","Sin registro",IF(F13&gt;$C$43,"Rojo",IF(F13&gt;0,IF(G13="Sí","Ámbar","Rojo"),"Verde")))</f>
        <v>Verde</v>
      </c>
      <c r="I13" s="27" t="str">
        <f aca="false">IF(H13="Sin registro","Pendiente de registro",IF(H13="Rojo","Atraso mayor a 3 días o sin causa escrita",IF(H13="Ámbar","Atraso dentro de la tolerancia, con causa escrita","Sin alerta: avance igual al plan")))</f>
        <v>Sin alerta: avance igual al plan</v>
      </c>
      <c r="J13" s="27" t="str">
        <f aca="false">IF(H13="Sin registro","Se registra en el corte del 19 oct 2026",IF(H13="Rojo","La semana siguiente completa lo pendiente y no suma trabajo nuevo",IF(H13="Ámbar","Se acepta el atraso y se recupera en el sprint","Continuar según el plan")))</f>
        <v>Continuar según el plan</v>
      </c>
    </row>
    <row r="14" customFormat="false" ht="33.75" hidden="false" customHeight="true" outlineLevel="0" collapsed="false">
      <c r="A14" s="19"/>
      <c r="B14" s="20" t="s">
        <v>23</v>
      </c>
      <c r="C14" s="21" t="s">
        <v>24</v>
      </c>
      <c r="D14" s="28" t="n">
        <f aca="false">ROUND($C$34*ROUND(D13,2),0)</f>
        <v>10346</v>
      </c>
      <c r="E14" s="29" t="n">
        <v>10346</v>
      </c>
      <c r="F14" s="30" t="n">
        <f aca="false">IF(E14="","—",(E14-D14)/D14)</f>
        <v>0</v>
      </c>
      <c r="G14" s="31" t="s">
        <v>25</v>
      </c>
      <c r="H14" s="26" t="str">
        <f aca="false">IF(E14="","Sin registro",IF(F14&gt;$C$44,"Rojo","Verde"))</f>
        <v>Verde</v>
      </c>
      <c r="I14" s="27" t="str">
        <f aca="false">IF(H14="Sin registro","Pendiente de registro",IF(H14="Rojo","Desviación sobre el 10 %",IF(H14="Ámbar","","Sin alerta: gasto conforme al avance")))</f>
        <v>Sin alerta: gasto conforme al avance</v>
      </c>
      <c r="J14" s="27" t="str">
        <f aca="false">IF(H14="Sin registro","Se registra en el corte del 19 oct 2026",IF(H14="Rojo","Se detiene el gasto no comprometido",IF(H14="Ámbar","","Continuar; contingencia sin uso")))</f>
        <v>Continuar; contingencia sin uso</v>
      </c>
    </row>
    <row r="15" customFormat="false" ht="33.75" hidden="false" customHeight="true" outlineLevel="0" collapsed="false">
      <c r="A15" s="19"/>
      <c r="B15" s="20" t="s">
        <v>26</v>
      </c>
      <c r="C15" s="21" t="s">
        <v>27</v>
      </c>
      <c r="D15" s="32" t="n">
        <f aca="false">$C$45</f>
        <v>4</v>
      </c>
      <c r="E15" s="33" t="n">
        <v>4</v>
      </c>
      <c r="F15" s="31" t="s">
        <v>25</v>
      </c>
      <c r="G15" s="31" t="s">
        <v>25</v>
      </c>
      <c r="H15" s="26" t="str">
        <f aca="false">IF(E15="","Sin registro",IF(E15&lt;$C$45,"Rojo","Verde"))</f>
        <v>Verde</v>
      </c>
      <c r="I15" s="27" t="str">
        <f aca="false">IF(H15="Sin registro","Pendiente de registro",IF(H15="Rojo","Puntaje bajo 4",IF(H15="Ámbar","","Sin alerta: hito aceptado")))</f>
        <v>Sin alerta: hito aceptado</v>
      </c>
      <c r="J15" s="27" t="str">
        <f aca="false">IF(H15="Sin registro","Se registra en el corte del 19 oct 2026",IF(H15="Rojo","La contraparte reabre el corte",IF(H15="Ámbar","","Cerrar el corte")))</f>
        <v>Cerrar el corte</v>
      </c>
    </row>
    <row r="16" customFormat="false" ht="33.75" hidden="false" customHeight="true" outlineLevel="0" collapsed="false">
      <c r="A16" s="19"/>
      <c r="B16" s="20" t="s">
        <v>28</v>
      </c>
      <c r="C16" s="21" t="s">
        <v>29</v>
      </c>
      <c r="D16" s="34" t="n">
        <f aca="false">$C$46</f>
        <v>5</v>
      </c>
      <c r="E16" s="35" t="n">
        <v>3</v>
      </c>
      <c r="F16" s="36" t="n">
        <v>0</v>
      </c>
      <c r="G16" s="31" t="s">
        <v>25</v>
      </c>
      <c r="H16" s="26" t="str">
        <f aca="false">IF(E16="","Sin registro",IF(OR(E16&gt;$C$46,F16&gt;$C$47),"Rojo","Verde"))</f>
        <v>Verde</v>
      </c>
      <c r="I16" s="27" t="str">
        <f aca="false">IF(H16="Sin registro","Pendiente de registro",IF(H16="Rojo","Densidad sobre la meta o bloqueante abierto",IF(H16="Ámbar","","Sin alerta: defectos menores y corregidos")))</f>
        <v>Sin alerta: defectos menores y corregidos</v>
      </c>
      <c r="J16" s="27" t="str">
        <f aca="false">IF(H16="Sin registro","Se registra en el corte del 19 oct 2026",IF(H16="Rojo","Se corrige antes de sumar funciones",IF(H16="Ámbar","","Continuar con las pruebas del sprint")))</f>
        <v>Continuar con las pruebas del sprint</v>
      </c>
    </row>
    <row r="17" customFormat="false" ht="33.75" hidden="false" customHeight="true" outlineLevel="0" collapsed="false">
      <c r="A17" s="19" t="s">
        <v>30</v>
      </c>
      <c r="B17" s="20" t="s">
        <v>20</v>
      </c>
      <c r="C17" s="21" t="s">
        <v>21</v>
      </c>
      <c r="D17" s="22" t="n">
        <v>0.782</v>
      </c>
      <c r="E17" s="22"/>
      <c r="F17" s="24"/>
      <c r="G17" s="37"/>
      <c r="H17" s="26" t="str">
        <f aca="false">IF(E17="","Sin registro",IF(F17&gt;$C$43,"Rojo",IF(F17&gt;0,IF(G17="Sí","Ámbar","Rojo"),"Verde")))</f>
        <v>Sin registro</v>
      </c>
      <c r="I17" s="27" t="str">
        <f aca="false">IF(H17="Sin registro","Pendiente de registro",IF(H17="Rojo","Atraso mayor a 3 días o sin causa escrita",IF(H17="Ámbar","Atraso dentro de la tolerancia, con causa escrita","Sin alerta: avance igual al plan")))</f>
        <v>Pendiente de registro</v>
      </c>
      <c r="J17" s="27" t="str">
        <f aca="false">IF(H17="Sin registro","Se registra en el corte del 9 nov 2026",IF(H17="Rojo","La semana siguiente completa lo pendiente y no suma trabajo nuevo",IF(H17="Ámbar","Se acepta el atraso y se recupera en el sprint","Continuar según el plan")))</f>
        <v>Se registra en el corte del 9 nov 2026</v>
      </c>
    </row>
    <row r="18" customFormat="false" ht="33.75" hidden="false" customHeight="true" outlineLevel="0" collapsed="false">
      <c r="A18" s="19"/>
      <c r="B18" s="20" t="s">
        <v>23</v>
      </c>
      <c r="C18" s="21" t="s">
        <v>24</v>
      </c>
      <c r="D18" s="28" t="n">
        <f aca="false">ROUND($C$34*ROUND(D17,2),0)</f>
        <v>14672</v>
      </c>
      <c r="E18" s="38"/>
      <c r="F18" s="30" t="str">
        <f aca="false">IF(E18="","—",(E18-D18)/D18)</f>
        <v>—</v>
      </c>
      <c r="G18" s="31" t="s">
        <v>25</v>
      </c>
      <c r="H18" s="26" t="str">
        <f aca="false">IF(E18="","Sin registro",IF(F18&gt;$C$44,"Rojo","Verde"))</f>
        <v>Sin registro</v>
      </c>
      <c r="I18" s="27" t="str">
        <f aca="false">IF(H18="Sin registro","Pendiente de registro",IF(H18="Rojo","Desviación sobre el 10 %",IF(H18="Ámbar","","Sin alerta: gasto conforme al avance")))</f>
        <v>Pendiente de registro</v>
      </c>
      <c r="J18" s="27" t="str">
        <f aca="false">IF(H18="Sin registro","Se registra en el corte del 9 nov 2026",IF(H18="Rojo","Se detiene el gasto no comprometido",IF(H18="Ámbar","","Continuar; contingencia sin uso")))</f>
        <v>Se registra en el corte del 9 nov 2026</v>
      </c>
    </row>
    <row r="19" customFormat="false" ht="33.75" hidden="false" customHeight="true" outlineLevel="0" collapsed="false">
      <c r="A19" s="19"/>
      <c r="B19" s="20" t="s">
        <v>26</v>
      </c>
      <c r="C19" s="21" t="s">
        <v>27</v>
      </c>
      <c r="D19" s="32" t="n">
        <f aca="false">$C$45</f>
        <v>4</v>
      </c>
      <c r="E19" s="39"/>
      <c r="F19" s="31" t="s">
        <v>25</v>
      </c>
      <c r="G19" s="31" t="s">
        <v>25</v>
      </c>
      <c r="H19" s="26" t="str">
        <f aca="false">IF(E19="","Sin registro",IF(E19&lt;$C$45,"Rojo","Verde"))</f>
        <v>Sin registro</v>
      </c>
      <c r="I19" s="27" t="str">
        <f aca="false">IF(H19="Sin registro","Pendiente de registro",IF(H19="Rojo","Puntaje bajo 4",IF(H19="Ámbar","","Sin alerta: hito aceptado")))</f>
        <v>Pendiente de registro</v>
      </c>
      <c r="J19" s="27" t="str">
        <f aca="false">IF(H19="Sin registro","Se registra en el corte del 9 nov 2026",IF(H19="Rojo","La contraparte reabre el corte",IF(H19="Ámbar","","Cerrar el corte")))</f>
        <v>Se registra en el corte del 9 nov 2026</v>
      </c>
    </row>
    <row r="20" customFormat="false" ht="33.75" hidden="false" customHeight="true" outlineLevel="0" collapsed="false">
      <c r="A20" s="19"/>
      <c r="B20" s="20" t="s">
        <v>28</v>
      </c>
      <c r="C20" s="21" t="s">
        <v>29</v>
      </c>
      <c r="D20" s="34" t="n">
        <f aca="false">$C$46</f>
        <v>5</v>
      </c>
      <c r="E20" s="40"/>
      <c r="F20" s="36"/>
      <c r="G20" s="31" t="s">
        <v>25</v>
      </c>
      <c r="H20" s="26" t="str">
        <f aca="false">IF(E20="","Sin registro",IF(OR(E20&gt;$C$46,F20&gt;$C$47),"Rojo","Verde"))</f>
        <v>Sin registro</v>
      </c>
      <c r="I20" s="27" t="str">
        <f aca="false">IF(H20="Sin registro","Pendiente de registro",IF(H20="Rojo","Densidad sobre la meta o bloqueante abierto",IF(H20="Ámbar","","Sin alerta: defectos menores y corregidos")))</f>
        <v>Pendiente de registro</v>
      </c>
      <c r="J20" s="27" t="str">
        <f aca="false">IF(H20="Sin registro","Se registra en el corte del 9 nov 2026",IF(H20="Rojo","Se corrige antes de sumar funciones",IF(H20="Ámbar","","Continuar con las pruebas del sprint")))</f>
        <v>Se registra en el corte del 9 nov 2026</v>
      </c>
    </row>
    <row r="21" customFormat="false" ht="33.75" hidden="false" customHeight="true" outlineLevel="0" collapsed="false">
      <c r="A21" s="19" t="s">
        <v>31</v>
      </c>
      <c r="B21" s="20" t="s">
        <v>20</v>
      </c>
      <c r="C21" s="21" t="s">
        <v>21</v>
      </c>
      <c r="D21" s="22" t="n">
        <v>0.977</v>
      </c>
      <c r="E21" s="22"/>
      <c r="F21" s="24"/>
      <c r="G21" s="37"/>
      <c r="H21" s="26" t="str">
        <f aca="false">IF(E21="","Sin registro",IF(F21&gt;$C$43,"Rojo",IF(F21&gt;0,IF(G21="Sí","Ámbar","Rojo"),"Verde")))</f>
        <v>Sin registro</v>
      </c>
      <c r="I21" s="27" t="str">
        <f aca="false">IF(H21="Sin registro","Pendiente de registro",IF(H21="Rojo","Atraso mayor a 3 días o sin causa escrita",IF(H21="Ámbar","Atraso dentro de la tolerancia, con causa escrita","Sin alerta: avance igual al plan")))</f>
        <v>Pendiente de registro</v>
      </c>
      <c r="J21" s="27" t="str">
        <f aca="false">IF(H21="Sin registro","Se registra en el corte del 4 dic 2026",IF(H21="Rojo","La semana siguiente completa lo pendiente y no suma trabajo nuevo",IF(H21="Ámbar","Se acepta el atraso y se recupera en el sprint","Continuar según el plan")))</f>
        <v>Se registra en el corte del 4 dic 2026</v>
      </c>
    </row>
    <row r="22" customFormat="false" ht="33.75" hidden="false" customHeight="true" outlineLevel="0" collapsed="false">
      <c r="A22" s="19"/>
      <c r="B22" s="20" t="s">
        <v>23</v>
      </c>
      <c r="C22" s="21" t="s">
        <v>24</v>
      </c>
      <c r="D22" s="28" t="n">
        <f aca="false">ROUND($C$34*ROUND(D21,2),0)</f>
        <v>18434</v>
      </c>
      <c r="E22" s="38"/>
      <c r="F22" s="30" t="str">
        <f aca="false">IF(E22="","—",(E22-D22)/D22)</f>
        <v>—</v>
      </c>
      <c r="G22" s="31" t="s">
        <v>25</v>
      </c>
      <c r="H22" s="26" t="str">
        <f aca="false">IF(E22="","Sin registro",IF(F22&gt;$C$44,"Rojo","Verde"))</f>
        <v>Sin registro</v>
      </c>
      <c r="I22" s="27" t="str">
        <f aca="false">IF(H22="Sin registro","Pendiente de registro",IF(H22="Rojo","Desviación sobre el 10 %",IF(H22="Ámbar","","Sin alerta: gasto conforme al avance")))</f>
        <v>Pendiente de registro</v>
      </c>
      <c r="J22" s="27" t="str">
        <f aca="false">IF(H22="Sin registro","Se registra en el corte del 4 dic 2026",IF(H22="Rojo","Se detiene el gasto no comprometido",IF(H22="Ámbar","","Continuar; contingencia sin uso")))</f>
        <v>Se registra en el corte del 4 dic 2026</v>
      </c>
    </row>
    <row r="23" customFormat="false" ht="33.75" hidden="false" customHeight="true" outlineLevel="0" collapsed="false">
      <c r="A23" s="19"/>
      <c r="B23" s="20" t="s">
        <v>26</v>
      </c>
      <c r="C23" s="21" t="s">
        <v>27</v>
      </c>
      <c r="D23" s="32" t="n">
        <f aca="false">$C$45</f>
        <v>4</v>
      </c>
      <c r="E23" s="39"/>
      <c r="F23" s="31" t="s">
        <v>25</v>
      </c>
      <c r="G23" s="31" t="s">
        <v>25</v>
      </c>
      <c r="H23" s="26" t="str">
        <f aca="false">IF(E23="","Sin registro",IF(E23&lt;$C$45,"Rojo","Verde"))</f>
        <v>Sin registro</v>
      </c>
      <c r="I23" s="27" t="str">
        <f aca="false">IF(H23="Sin registro","Pendiente de registro",IF(H23="Rojo","Puntaje bajo 4",IF(H23="Ámbar","","Sin alerta: hito aceptado")))</f>
        <v>Pendiente de registro</v>
      </c>
      <c r="J23" s="27" t="str">
        <f aca="false">IF(H23="Sin registro","Se registra en el corte del 4 dic 2026",IF(H23="Rojo","La contraparte reabre el corte",IF(H23="Ámbar","","Cerrar el corte")))</f>
        <v>Se registra en el corte del 4 dic 2026</v>
      </c>
    </row>
    <row r="24" customFormat="false" ht="33.75" hidden="false" customHeight="true" outlineLevel="0" collapsed="false">
      <c r="A24" s="19"/>
      <c r="B24" s="20" t="s">
        <v>28</v>
      </c>
      <c r="C24" s="21" t="s">
        <v>29</v>
      </c>
      <c r="D24" s="34" t="n">
        <f aca="false">$C$46</f>
        <v>5</v>
      </c>
      <c r="E24" s="40"/>
      <c r="F24" s="36"/>
      <c r="G24" s="31" t="s">
        <v>25</v>
      </c>
      <c r="H24" s="26" t="str">
        <f aca="false">IF(E24="","Sin registro",IF(OR(E24&gt;$C$46,F24&gt;$C$47),"Rojo","Verde"))</f>
        <v>Sin registro</v>
      </c>
      <c r="I24" s="27" t="str">
        <f aca="false">IF(H24="Sin registro","Pendiente de registro",IF(H24="Rojo","Densidad sobre la meta o bloqueante abierto",IF(H24="Ámbar","","Sin alerta: defectos menores y corregidos")))</f>
        <v>Pendiente de registro</v>
      </c>
      <c r="J24" s="27" t="str">
        <f aca="false">IF(H24="Sin registro","Se registra en el corte del 4 dic 2026",IF(H24="Rojo","Se corrige antes de sumar funciones",IF(H24="Ámbar","","Continuar con las pruebas del sprint")))</f>
        <v>Se registra en el corte del 4 dic 2026</v>
      </c>
    </row>
    <row r="25" customFormat="false" ht="33.75" hidden="false" customHeight="true" outlineLevel="0" collapsed="false">
      <c r="A25" s="19" t="s">
        <v>32</v>
      </c>
      <c r="B25" s="20" t="s">
        <v>20</v>
      </c>
      <c r="C25" s="21" t="s">
        <v>21</v>
      </c>
      <c r="D25" s="22" t="n">
        <v>1</v>
      </c>
      <c r="E25" s="22"/>
      <c r="F25" s="24"/>
      <c r="G25" s="37"/>
      <c r="H25" s="26" t="str">
        <f aca="false">IF(E25="","Sin registro",IF(F25&gt;$C$43,"Rojo",IF(F25&gt;0,IF(G25="Sí","Ámbar","Rojo"),"Verde")))</f>
        <v>Sin registro</v>
      </c>
      <c r="I25" s="27" t="str">
        <f aca="false">IF(H25="Sin registro","Pendiente de registro",IF(H25="Rojo","Atraso mayor a 3 días o sin causa escrita",IF(H25="Ámbar","Atraso dentro de la tolerancia, con causa escrita","Sin alerta: avance igual al plan")))</f>
        <v>Pendiente de registro</v>
      </c>
      <c r="J25" s="27" t="str">
        <f aca="false">IF(H25="Sin registro","Se registra en el corte del 9 dic 2026",IF(H25="Rojo","La semana siguiente completa lo pendiente y no suma trabajo nuevo",IF(H25="Ámbar","Se acepta el atraso y se recupera en el sprint","Continuar según el plan")))</f>
        <v>Se registra en el corte del 9 dic 2026</v>
      </c>
    </row>
    <row r="26" customFormat="false" ht="33.75" hidden="false" customHeight="true" outlineLevel="0" collapsed="false">
      <c r="A26" s="19"/>
      <c r="B26" s="20" t="s">
        <v>23</v>
      </c>
      <c r="C26" s="21" t="s">
        <v>24</v>
      </c>
      <c r="D26" s="28" t="n">
        <f aca="false">ROUND($C$34*ROUND(D25,2),0)</f>
        <v>18810</v>
      </c>
      <c r="E26" s="38"/>
      <c r="F26" s="30" t="str">
        <f aca="false">IF(E26="","—",(E26-D26)/D26)</f>
        <v>—</v>
      </c>
      <c r="G26" s="31" t="s">
        <v>25</v>
      </c>
      <c r="H26" s="26" t="str">
        <f aca="false">IF(E26="","Sin registro",IF(F26&gt;$C$44,"Rojo","Verde"))</f>
        <v>Sin registro</v>
      </c>
      <c r="I26" s="27" t="str">
        <f aca="false">IF(H26="Sin registro","Pendiente de registro",IF(H26="Rojo","Desviación sobre el 10 %",IF(H26="Ámbar","","Sin alerta: gasto conforme al avance")))</f>
        <v>Pendiente de registro</v>
      </c>
      <c r="J26" s="27" t="str">
        <f aca="false">IF(H26="Sin registro","Se registra en el corte del 9 dic 2026",IF(H26="Rojo","Se detiene el gasto no comprometido",IF(H26="Ámbar","","Continuar; contingencia sin uso")))</f>
        <v>Se registra en el corte del 9 dic 2026</v>
      </c>
    </row>
    <row r="27" customFormat="false" ht="33.75" hidden="false" customHeight="true" outlineLevel="0" collapsed="false">
      <c r="A27" s="19"/>
      <c r="B27" s="20" t="s">
        <v>26</v>
      </c>
      <c r="C27" s="21" t="s">
        <v>27</v>
      </c>
      <c r="D27" s="32" t="n">
        <f aca="false">$C$45</f>
        <v>4</v>
      </c>
      <c r="E27" s="39"/>
      <c r="F27" s="31" t="s">
        <v>25</v>
      </c>
      <c r="G27" s="31" t="s">
        <v>25</v>
      </c>
      <c r="H27" s="26" t="str">
        <f aca="false">IF(E27="","Sin registro",IF(E27&lt;$C$45,"Rojo","Verde"))</f>
        <v>Sin registro</v>
      </c>
      <c r="I27" s="27" t="str">
        <f aca="false">IF(H27="Sin registro","Pendiente de registro",IF(H27="Rojo","Puntaje bajo 4",IF(H27="Ámbar","","Sin alerta: hito aceptado")))</f>
        <v>Pendiente de registro</v>
      </c>
      <c r="J27" s="27" t="str">
        <f aca="false">IF(H27="Sin registro","Se registra en el corte del 9 dic 2026",IF(H27="Rojo","La contraparte reabre el corte",IF(H27="Ámbar","","Cerrar el corte")))</f>
        <v>Se registra en el corte del 9 dic 2026</v>
      </c>
    </row>
    <row r="28" customFormat="false" ht="33.75" hidden="false" customHeight="true" outlineLevel="0" collapsed="false">
      <c r="A28" s="19"/>
      <c r="B28" s="20" t="s">
        <v>28</v>
      </c>
      <c r="C28" s="21" t="s">
        <v>29</v>
      </c>
      <c r="D28" s="34" t="n">
        <f aca="false">$C$46</f>
        <v>5</v>
      </c>
      <c r="E28" s="40"/>
      <c r="F28" s="36"/>
      <c r="G28" s="31" t="s">
        <v>25</v>
      </c>
      <c r="H28" s="26" t="str">
        <f aca="false">IF(E28="","Sin registro",IF(OR(E28&gt;$C$46,F28&gt;$C$47),"Rojo","Verde"))</f>
        <v>Sin registro</v>
      </c>
      <c r="I28" s="27" t="str">
        <f aca="false">IF(H28="Sin registro","Pendiente de registro",IF(H28="Rojo","Densidad sobre la meta o bloqueante abierto",IF(H28="Ámbar","","Sin alerta: defectos menores y corregidos")))</f>
        <v>Pendiente de registro</v>
      </c>
      <c r="J28" s="27" t="str">
        <f aca="false">IF(H28="Sin registro","Se registra en el corte del 9 dic 2026",IF(H28="Rojo","Se corrige antes de sumar funciones",IF(H28="Ámbar","","Continuar con las pruebas del sprint")))</f>
        <v>Se registra en el corte del 9 dic 2026</v>
      </c>
    </row>
    <row r="29" customFormat="false" ht="9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5" t="s">
        <v>33</v>
      </c>
      <c r="B30" s="5"/>
      <c r="C30" s="5"/>
      <c r="D30" s="5"/>
      <c r="E30" s="5"/>
      <c r="F30" s="5" t="s">
        <v>34</v>
      </c>
      <c r="G30" s="5"/>
      <c r="H30" s="5"/>
      <c r="I30" s="5"/>
      <c r="J30" s="5"/>
    </row>
    <row r="31" customFormat="false" ht="21.75" hidden="false" customHeight="true" outlineLevel="0" collapsed="false">
      <c r="A31" s="41" t="s">
        <v>35</v>
      </c>
      <c r="B31" s="41"/>
      <c r="C31" s="42" t="s">
        <v>36</v>
      </c>
      <c r="D31" s="41" t="s">
        <v>37</v>
      </c>
      <c r="E31" s="41"/>
      <c r="F31" s="43" t="s">
        <v>38</v>
      </c>
      <c r="G31" s="43"/>
      <c r="H31" s="42" t="s">
        <v>39</v>
      </c>
      <c r="I31" s="42" t="s">
        <v>40</v>
      </c>
      <c r="J31" s="41" t="s">
        <v>37</v>
      </c>
    </row>
    <row r="32" customFormat="false" ht="24" hidden="false" customHeight="true" outlineLevel="0" collapsed="false">
      <c r="A32" s="44" t="s">
        <v>41</v>
      </c>
      <c r="B32" s="44"/>
      <c r="C32" s="45" t="n">
        <v>20700</v>
      </c>
      <c r="D32" s="21" t="s">
        <v>42</v>
      </c>
      <c r="E32" s="21"/>
      <c r="F32" s="44" t="s">
        <v>43</v>
      </c>
      <c r="G32" s="44"/>
      <c r="H32" s="46" t="n">
        <v>60</v>
      </c>
      <c r="I32" s="46" t="n">
        <v>120</v>
      </c>
      <c r="J32" s="21" t="s">
        <v>44</v>
      </c>
    </row>
    <row r="33" customFormat="false" ht="24" hidden="false" customHeight="true" outlineLevel="0" collapsed="false">
      <c r="A33" s="44" t="s">
        <v>45</v>
      </c>
      <c r="B33" s="44"/>
      <c r="C33" s="47" t="n">
        <f aca="false">C32-C34</f>
        <v>1890</v>
      </c>
      <c r="D33" s="48" t="n">
        <f aca="false">C33/C34</f>
        <v>0.100478468899522</v>
      </c>
      <c r="E33" s="48"/>
      <c r="F33" s="44" t="s">
        <v>46</v>
      </c>
      <c r="G33" s="44"/>
      <c r="H33" s="46" t="n">
        <v>60</v>
      </c>
      <c r="I33" s="46" t="n">
        <v>100</v>
      </c>
      <c r="J33" s="21" t="s">
        <v>47</v>
      </c>
    </row>
    <row r="34" customFormat="false" ht="24" hidden="false" customHeight="true" outlineLevel="0" collapsed="false">
      <c r="A34" s="44" t="s">
        <v>48</v>
      </c>
      <c r="B34" s="44"/>
      <c r="C34" s="45" t="n">
        <v>18810</v>
      </c>
      <c r="D34" s="21" t="s">
        <v>49</v>
      </c>
      <c r="E34" s="21"/>
      <c r="F34" s="44" t="s">
        <v>50</v>
      </c>
      <c r="G34" s="44"/>
      <c r="H34" s="46" t="n">
        <v>80</v>
      </c>
      <c r="I34" s="46" t="n">
        <v>120</v>
      </c>
      <c r="J34" s="21" t="s">
        <v>51</v>
      </c>
    </row>
    <row r="35" customFormat="false" ht="24" hidden="false" customHeight="true" outlineLevel="0" collapsed="false">
      <c r="A35" s="44" t="s">
        <v>52</v>
      </c>
      <c r="B35" s="44"/>
      <c r="C35" s="47" t="n">
        <f aca="false">E14</f>
        <v>10346</v>
      </c>
      <c r="D35" s="49" t="n">
        <f aca="false">C35/C34</f>
        <v>0.550026581605529</v>
      </c>
      <c r="E35" s="49"/>
      <c r="F35" s="20" t="s">
        <v>53</v>
      </c>
      <c r="G35" s="20"/>
      <c r="H35" s="47" t="n">
        <f aca="false">SUM(H32:H34)</f>
        <v>200</v>
      </c>
      <c r="I35" s="47" t="n">
        <f aca="false">SUM(I32:I34)</f>
        <v>340</v>
      </c>
      <c r="J35" s="21" t="s">
        <v>54</v>
      </c>
    </row>
    <row r="36" customFormat="false" ht="24" hidden="false" customHeight="true" outlineLevel="0" collapsed="false">
      <c r="A36" s="44" t="s">
        <v>55</v>
      </c>
      <c r="B36" s="44"/>
      <c r="C36" s="47" t="n">
        <f aca="false">C34-C35</f>
        <v>8464</v>
      </c>
      <c r="D36" s="21" t="s">
        <v>56</v>
      </c>
      <c r="E36" s="21"/>
      <c r="F36" s="50" t="s">
        <v>57</v>
      </c>
      <c r="G36" s="50"/>
      <c r="H36" s="50"/>
      <c r="I36" s="51" t="n">
        <f aca="false">C32+I35</f>
        <v>21040</v>
      </c>
      <c r="J36" s="52" t="str">
        <f aca="false">IF(C32+I35&gt;C32,"Pendiente de decisión de la dirección","")</f>
        <v>Pendiente de decisión de la dirección</v>
      </c>
    </row>
    <row r="37" customFormat="false" ht="24" hidden="false" customHeight="true" outlineLevel="0" collapsed="false">
      <c r="A37" s="44" t="s">
        <v>58</v>
      </c>
      <c r="B37" s="44"/>
      <c r="C37" s="45" t="n">
        <v>0</v>
      </c>
      <c r="D37" s="21" t="str">
        <f aca="false">IF(C37=0,"Sin uso","Uso registrado")</f>
        <v>Sin uso</v>
      </c>
      <c r="E37" s="21"/>
      <c r="F37" s="44" t="s">
        <v>59</v>
      </c>
      <c r="G37" s="44"/>
      <c r="H37" s="44"/>
      <c r="I37" s="44"/>
      <c r="J37" s="21" t="s">
        <v>60</v>
      </c>
    </row>
    <row r="38" customFormat="false" ht="24" hidden="false" customHeight="true" outlineLevel="0" collapsed="false">
      <c r="A38" s="44" t="s">
        <v>61</v>
      </c>
      <c r="B38" s="44"/>
      <c r="C38" s="45" t="n">
        <v>120</v>
      </c>
      <c r="D38" s="21" t="s">
        <v>62</v>
      </c>
      <c r="E38" s="21"/>
      <c r="F38" s="4"/>
      <c r="G38" s="4"/>
      <c r="H38" s="4"/>
      <c r="I38" s="4"/>
      <c r="J38" s="4"/>
    </row>
    <row r="39" customFormat="false" ht="24" hidden="false" customHeight="true" outlineLevel="0" collapsed="false">
      <c r="A39" s="44" t="s">
        <v>63</v>
      </c>
      <c r="B39" s="44"/>
      <c r="C39" s="45" t="n">
        <v>0</v>
      </c>
      <c r="D39" s="53" t="n">
        <f aca="false">C38-C39</f>
        <v>120</v>
      </c>
      <c r="E39" s="53"/>
      <c r="F39" s="4"/>
      <c r="G39" s="4"/>
      <c r="H39" s="4"/>
      <c r="I39" s="4"/>
      <c r="J39" s="4"/>
    </row>
    <row r="40" customFormat="false" ht="9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5" t="s">
        <v>64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41" t="s">
        <v>65</v>
      </c>
      <c r="B42" s="41"/>
      <c r="C42" s="42" t="s">
        <v>66</v>
      </c>
      <c r="D42" s="41" t="s">
        <v>67</v>
      </c>
      <c r="E42" s="41"/>
      <c r="F42" s="41"/>
      <c r="G42" s="41"/>
      <c r="H42" s="41"/>
      <c r="I42" s="41"/>
      <c r="J42" s="41"/>
    </row>
    <row r="43" customFormat="false" ht="21.75" hidden="false" customHeight="true" outlineLevel="0" collapsed="false">
      <c r="A43" s="44" t="s">
        <v>68</v>
      </c>
      <c r="B43" s="44"/>
      <c r="C43" s="54" t="n">
        <v>3</v>
      </c>
      <c r="D43" s="21" t="s">
        <v>69</v>
      </c>
      <c r="E43" s="21"/>
      <c r="F43" s="21"/>
      <c r="G43" s="21"/>
      <c r="H43" s="21"/>
      <c r="I43" s="21"/>
      <c r="J43" s="21"/>
    </row>
    <row r="44" customFormat="false" ht="21.75" hidden="false" customHeight="true" outlineLevel="0" collapsed="false">
      <c r="A44" s="44" t="s">
        <v>70</v>
      </c>
      <c r="B44" s="44"/>
      <c r="C44" s="55" t="n">
        <v>0.1</v>
      </c>
      <c r="D44" s="21" t="s">
        <v>71</v>
      </c>
      <c r="E44" s="21"/>
      <c r="F44" s="21"/>
      <c r="G44" s="21"/>
      <c r="H44" s="21"/>
      <c r="I44" s="21"/>
      <c r="J44" s="21"/>
    </row>
    <row r="45" customFormat="false" ht="21.75" hidden="false" customHeight="true" outlineLevel="0" collapsed="false">
      <c r="A45" s="44" t="s">
        <v>72</v>
      </c>
      <c r="B45" s="44"/>
      <c r="C45" s="54" t="n">
        <v>4</v>
      </c>
      <c r="D45" s="21" t="s">
        <v>73</v>
      </c>
      <c r="E45" s="21"/>
      <c r="F45" s="21"/>
      <c r="G45" s="21"/>
      <c r="H45" s="21"/>
      <c r="I45" s="21"/>
      <c r="J45" s="21"/>
    </row>
    <row r="46" customFormat="false" ht="21.75" hidden="false" customHeight="true" outlineLevel="0" collapsed="false">
      <c r="A46" s="44" t="s">
        <v>74</v>
      </c>
      <c r="B46" s="44"/>
      <c r="C46" s="54" t="n">
        <v>5</v>
      </c>
      <c r="D46" s="21" t="s">
        <v>75</v>
      </c>
      <c r="E46" s="21"/>
      <c r="F46" s="21"/>
      <c r="G46" s="21"/>
      <c r="H46" s="21"/>
      <c r="I46" s="21"/>
      <c r="J46" s="21"/>
    </row>
    <row r="47" customFormat="false" ht="21.75" hidden="false" customHeight="true" outlineLevel="0" collapsed="false">
      <c r="A47" s="44" t="s">
        <v>76</v>
      </c>
      <c r="B47" s="44"/>
      <c r="C47" s="54" t="n">
        <v>0</v>
      </c>
      <c r="D47" s="21" t="s">
        <v>77</v>
      </c>
      <c r="E47" s="21"/>
      <c r="F47" s="21"/>
      <c r="G47" s="21"/>
      <c r="H47" s="21"/>
      <c r="I47" s="21"/>
      <c r="J47" s="21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30" hidden="false" customHeight="true" outlineLevel="0" collapsed="false">
      <c r="A49" s="56" t="s">
        <v>78</v>
      </c>
      <c r="B49" s="56"/>
      <c r="C49" s="56"/>
      <c r="D49" s="56"/>
      <c r="E49" s="56"/>
      <c r="F49" s="56"/>
      <c r="G49" s="56"/>
      <c r="H49" s="56"/>
      <c r="I49" s="56"/>
      <c r="J49" s="56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</row>
  </sheetData>
  <mergeCells count="63">
    <mergeCell ref="A1:J1"/>
    <mergeCell ref="A2:J2"/>
    <mergeCell ref="A3:J3"/>
    <mergeCell ref="A5:J5"/>
    <mergeCell ref="A6:B6"/>
    <mergeCell ref="C6:E6"/>
    <mergeCell ref="F6:H6"/>
    <mergeCell ref="A7:B7"/>
    <mergeCell ref="C7:E7"/>
    <mergeCell ref="F7:H7"/>
    <mergeCell ref="J7:J9"/>
    <mergeCell ref="A8:B8"/>
    <mergeCell ref="C8:E8"/>
    <mergeCell ref="F8:H8"/>
    <mergeCell ref="A9:B9"/>
    <mergeCell ref="C9:E9"/>
    <mergeCell ref="F9:H9"/>
    <mergeCell ref="A11:J11"/>
    <mergeCell ref="A13:A16"/>
    <mergeCell ref="A17:A20"/>
    <mergeCell ref="A21:A24"/>
    <mergeCell ref="A25:A28"/>
    <mergeCell ref="A30:E30"/>
    <mergeCell ref="F30:J30"/>
    <mergeCell ref="A31:B31"/>
    <mergeCell ref="D31:E31"/>
    <mergeCell ref="F31:G31"/>
    <mergeCell ref="A32:B32"/>
    <mergeCell ref="D32:E32"/>
    <mergeCell ref="F32:G32"/>
    <mergeCell ref="A33:B33"/>
    <mergeCell ref="D33:E33"/>
    <mergeCell ref="F33:G33"/>
    <mergeCell ref="A34:B34"/>
    <mergeCell ref="D34:E34"/>
    <mergeCell ref="F34:G34"/>
    <mergeCell ref="A35:B35"/>
    <mergeCell ref="D35:E35"/>
    <mergeCell ref="F35:G35"/>
    <mergeCell ref="A36:B36"/>
    <mergeCell ref="D36:E36"/>
    <mergeCell ref="F36:H36"/>
    <mergeCell ref="A37:B37"/>
    <mergeCell ref="D37:E37"/>
    <mergeCell ref="F37:I37"/>
    <mergeCell ref="A38:B38"/>
    <mergeCell ref="D38:E38"/>
    <mergeCell ref="A39:B39"/>
    <mergeCell ref="D39:E39"/>
    <mergeCell ref="A41:J41"/>
    <mergeCell ref="A42:B42"/>
    <mergeCell ref="D42:J42"/>
    <mergeCell ref="A43:B43"/>
    <mergeCell ref="D43:J43"/>
    <mergeCell ref="A44:B44"/>
    <mergeCell ref="D44:J44"/>
    <mergeCell ref="A45:B45"/>
    <mergeCell ref="D45:J45"/>
    <mergeCell ref="A46:B46"/>
    <mergeCell ref="D46:J46"/>
    <mergeCell ref="A47:B47"/>
    <mergeCell ref="D47:J47"/>
    <mergeCell ref="A49:J49"/>
  </mergeCells>
  <conditionalFormatting sqref="H13:H28">
    <cfRule type="expression" priority="2" aboveAverage="0" equalAverage="0" bottom="0" percent="0" rank="0" text="" dxfId="0">
      <formula>ISNUMBER(SEARCH("Sin registro",H13))</formula>
    </cfRule>
    <cfRule type="expression" priority="3" aboveAverage="0" equalAverage="0" bottom="0" percent="0" rank="0" text="" dxfId="1">
      <formula>ISNUMBER(SEARCH("Verde",H13))</formula>
    </cfRule>
    <cfRule type="expression" priority="4" aboveAverage="0" equalAverage="0" bottom="0" percent="0" rank="0" text="" dxfId="2">
      <formula>ISNUMBER(SEARCH("Ámbar",H13))</formula>
    </cfRule>
    <cfRule type="expression" priority="5" aboveAverage="0" equalAverage="0" bottom="0" percent="0" rank="0" text="" dxfId="3">
      <formula>ISNUMBER(SEARCH("Rojo",H13))</formula>
    </cfRule>
  </conditionalFormatting>
  <conditionalFormatting sqref="A9">
    <cfRule type="expression" priority="6" aboveAverage="0" equalAverage="0" bottom="0" percent="0" rank="0" text="" dxfId="0">
      <formula>ISNUMBER(SEARCH("Sin registro",A9))</formula>
    </cfRule>
    <cfRule type="expression" priority="7" aboveAverage="0" equalAverage="0" bottom="0" percent="0" rank="0" text="" dxfId="1">
      <formula>ISNUMBER(SEARCH("Verde",A9))</formula>
    </cfRule>
    <cfRule type="expression" priority="8" aboveAverage="0" equalAverage="0" bottom="0" percent="0" rank="0" text="" dxfId="2">
      <formula>ISNUMBER(SEARCH("Ámbar",A9))</formula>
    </cfRule>
    <cfRule type="expression" priority="9" aboveAverage="0" equalAverage="0" bottom="0" percent="0" rank="0" text="" dxfId="3">
      <formula>ISNUMBER(SEARCH("Rojo",A9))</formula>
    </cfRule>
  </conditionalFormatting>
  <conditionalFormatting sqref="C9">
    <cfRule type="expression" priority="10" aboveAverage="0" equalAverage="0" bottom="0" percent="0" rank="0" text="" dxfId="0">
      <formula>ISNUMBER(SEARCH("Sin registro",C9))</formula>
    </cfRule>
    <cfRule type="expression" priority="11" aboveAverage="0" equalAverage="0" bottom="0" percent="0" rank="0" text="" dxfId="1">
      <formula>ISNUMBER(SEARCH("Verde",C9))</formula>
    </cfRule>
    <cfRule type="expression" priority="12" aboveAverage="0" equalAverage="0" bottom="0" percent="0" rank="0" text="" dxfId="2">
      <formula>ISNUMBER(SEARCH("Ámbar",C9))</formula>
    </cfRule>
    <cfRule type="expression" priority="13" aboveAverage="0" equalAverage="0" bottom="0" percent="0" rank="0" text="" dxfId="3">
      <formula>ISNUMBER(SEARCH("Rojo",C9))</formula>
    </cfRule>
  </conditionalFormatting>
  <conditionalFormatting sqref="F9">
    <cfRule type="expression" priority="14" aboveAverage="0" equalAverage="0" bottom="0" percent="0" rank="0" text="" dxfId="0">
      <formula>ISNUMBER(SEARCH("Sin registro",F9))</formula>
    </cfRule>
    <cfRule type="expression" priority="15" aboveAverage="0" equalAverage="0" bottom="0" percent="0" rank="0" text="" dxfId="1">
      <formula>ISNUMBER(SEARCH("Verde",F9))</formula>
    </cfRule>
    <cfRule type="expression" priority="16" aboveAverage="0" equalAverage="0" bottom="0" percent="0" rank="0" text="" dxfId="2">
      <formula>ISNUMBER(SEARCH("Ámbar",F9))</formula>
    </cfRule>
    <cfRule type="expression" priority="17" aboveAverage="0" equalAverage="0" bottom="0" percent="0" rank="0" text="" dxfId="3">
      <formula>ISNUMBER(SEARCH("Rojo",F9))</formula>
    </cfRule>
  </conditionalFormatting>
  <conditionalFormatting sqref="I9">
    <cfRule type="expression" priority="18" aboveAverage="0" equalAverage="0" bottom="0" percent="0" rank="0" text="" dxfId="0">
      <formula>ISNUMBER(SEARCH("Sin registro",I9))</formula>
    </cfRule>
    <cfRule type="expression" priority="19" aboveAverage="0" equalAverage="0" bottom="0" percent="0" rank="0" text="" dxfId="1">
      <formula>ISNUMBER(SEARCH("Verde",I9))</formula>
    </cfRule>
    <cfRule type="expression" priority="20" aboveAverage="0" equalAverage="0" bottom="0" percent="0" rank="0" text="" dxfId="2">
      <formula>ISNUMBER(SEARCH("Ámbar",I9))</formula>
    </cfRule>
    <cfRule type="expression" priority="21" aboveAverage="0" equalAverage="0" bottom="0" percent="0" rank="0" text="" dxfId="3">
      <formula>ISNUMBER(SEARCH("Rojo",I9))</formula>
    </cfRule>
  </conditionalFormatting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2026-10-22T22:38:21Z</dcterms:created>
  <dc:creator>Equipo Kiran</dc:creator>
  <dc:description/>
  <dc:language>en-US</dc:language>
  <cp:lastModifiedBy>Equipo Kiran</cp:lastModifiedBy>
  <dcterms:modified xsi:type="dcterms:W3CDTF">2026-10-22T22:38:21Z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